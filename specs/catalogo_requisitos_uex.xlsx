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quisitos" sheetId="1" state="visible" r:id="rId3"/>
    <sheet name="Resumen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<sst xmlns="http://schemas.openxmlformats.org/spreadsheetml/2006/main" count="238" uniqueCount="157">
  <si>
    <t xml:space="preserve">Épica ID</t>
  </si>
  <si>
    <t xml:space="preserve">Épica</t>
  </si>
  <si>
    <t xml:space="preserve">HU ID</t>
  </si>
  <si>
    <t xml:space="preserve">Título</t>
  </si>
  <si>
    <t xml:space="preserve">Historia de usuario</t>
  </si>
  <si>
    <t xml:space="preserve">Prioridad</t>
  </si>
  <si>
    <t xml:space="preserve">Estimación original</t>
  </si>
  <si>
    <t xml:space="preserve">Estimación mínima (h)</t>
  </si>
  <si>
    <t xml:space="preserve">Estimación máxima (h)</t>
  </si>
  <si>
    <t xml:space="preserve">Estimación planificación (h)</t>
  </si>
  <si>
    <t xml:space="preserve">Incertidumbre</t>
  </si>
  <si>
    <t xml:space="preserve">Predecesores</t>
  </si>
  <si>
    <t xml:space="preserve">Criterios de aceptación</t>
  </si>
  <si>
    <t xml:space="preserve">Verificaciones</t>
  </si>
  <si>
    <t xml:space="preserve">Restricciones</t>
  </si>
  <si>
    <t xml:space="preserve">Cumple DoR</t>
  </si>
  <si>
    <t xml:space="preserve">Observaciones Reviewer</t>
  </si>
  <si>
    <t xml:space="preserve">EP-01</t>
  </si>
  <si>
    <t xml:space="preserve">Simplificación de trámites</t>
  </si>
  <si>
    <t xml:space="preserve">HU-01</t>
  </si>
  <si>
    <t xml:space="preserve">Alumno quiere matricularse</t>
  </si>
  <si>
    <t xml:space="preserve">Como estudiante de la UNEX, quiero matricularme de forma sencilla e intuitiva, para no tener que hacerlo presencialmente y tener una validación instantánea.</t>
  </si>
  <si>
    <t xml:space="preserve">Must</t>
  </si>
  <si>
    <t xml:space="preserve">5-8h</t>
  </si>
  <si>
    <t xml:space="preserve">Baja</t>
  </si>
  <si>
    <t xml:space="preserve">US-01-AC-01: El alumno puede seleccionar asignaturas de su plan de estudios.
US-01-AC-02: El sistema valida prerrequisitos, plazas y solapamientos antes de confirmar.
US-01-AC-03: Se genera un justificante de matrícula descargable en PDF.</t>
  </si>
  <si>
    <t xml:space="preserve">Pruebas de integración con el sistema de expedientes.</t>
  </si>
  <si>
    <t xml:space="preserve">Solo disponible en el periodo oficial de matrícula.</t>
  </si>
  <si>
    <t xml:space="preserve">Conviene revisar si la validación de prerrequisitos, plazas y solapamientos depende de otros sistemas y documentar esas dependencias.</t>
  </si>
  <si>
    <t xml:space="preserve">HU-02</t>
  </si>
  <si>
    <t xml:space="preserve">Alumno quiere desmatricularse</t>
  </si>
  <si>
    <t xml:space="preserve">Como estudiante de la UNEX, quiero desmatricularme de forma sencilla e intuitiva, para no tener que hacerlo presencialmente y tener una validación instantánea.</t>
  </si>
  <si>
    <t xml:space="preserve">US-02-AC-01: El alumno puede seleccionar una asignatura matriculada y solicitar su anulación.
US-02-AC-02: El expediente y el recibo se actualizan automáticamente.
US-02-AC-03: El sistema bloquea la operación fuera de plazo con mensaje explicativo.</t>
  </si>
  <si>
    <t xml:space="preserve">Casos de prueba con fechas límite.</t>
  </si>
  <si>
    <t xml:space="preserve">Sería conveniente aclarar las condiciones de desmatriculación.</t>
  </si>
  <si>
    <t xml:space="preserve">HU-03</t>
  </si>
  <si>
    <t xml:space="preserve">Alumno quiere pedir una beca y monitorizar su estado en vivo</t>
  </si>
  <si>
    <t xml:space="preserve">Como estudiante de la UNEX, quiero poder monitorizar el progreso en la concesión de cualquier beca en proceso, así como mayor facilidad en el trámite, para saber si falta documentación o está resuelta.</t>
  </si>
  <si>
    <t xml:space="preserve">3-5h</t>
  </si>
  <si>
    <t xml:space="preserve">Media</t>
  </si>
  <si>
    <t xml:space="preserve">US-03-AC-01: El formulario permite adjuntar la documentación requerida.
US-03-AC-02: El estado se muestra como Solicitada / En revisión / Falta documentación / Aprobada / Denegada.
US-03-AC-03: El alumno recibe notificación al cambiar de estado.</t>
  </si>
  <si>
    <t xml:space="preserve">Prueba con lector de pantalla (accesibilidad).</t>
  </si>
  <si>
    <t xml:space="preserve">Sujeto a las bases reguladoras de la convocatoria.</t>
  </si>
  <si>
    <t xml:space="preserve">La historia combina solicitud y seguimiento de becas; podría revisarse si conviene dividirla en dos historias.</t>
  </si>
  <si>
    <t xml:space="preserve">HU-04</t>
  </si>
  <si>
    <t xml:space="preserve">Descarga de documentos oficiales</t>
  </si>
  <si>
    <t xml:space="preserve">Como estudiante de la UNEX, quiero poder descargar mi matrícula, expediente o cualquier otro documento para no tener la necesidad de solicitarlo de forma presencial.</t>
  </si>
  <si>
    <t xml:space="preserve">Should</t>
  </si>
  <si>
    <t xml:space="preserve">1-3h</t>
  </si>
  <si>
    <t xml:space="preserve">US-04-AC-01: El alumno puede ver un listado de sus documentos disponibles.
US-04-AC-02: La descarga se realiza en PDF firmado.
US-04-AC-03: Solo el titular (y los que se ocupen de la gestión de estos) puede acceder a sus documentos.</t>
  </si>
  <si>
    <t xml:space="preserve">Prueba de descargas. Prueba de acceso con usuario ajeno (debe denegar).</t>
  </si>
  <si>
    <t xml:space="preserve">Formato de descarga y firma según normativa académica.</t>
  </si>
  <si>
    <t xml:space="preserve">Se debería concretar qué documentos estarán disponibles y qué perfiles autorizados podrán acceder.</t>
  </si>
  <si>
    <t xml:space="preserve">EP-02</t>
  </si>
  <si>
    <t xml:space="preserve">Facilitación de navegación</t>
  </si>
  <si>
    <t xml:space="preserve">HU-05</t>
  </si>
  <si>
    <t xml:space="preserve">Navegación clara e intuitiva</t>
  </si>
  <si>
    <t xml:space="preserve">Como estudiante de la UNEX, quiero que se diseñe una navegación clara, con menús y buscador, para poder encontrar lo que busco lo antes posible.</t>
  </si>
  <si>
    <t xml:space="preserve">-1h</t>
  </si>
  <si>
    <t xml:space="preserve">US-05-AC-01: Toda página muestra migas de pan.
US-05-AC-02: Existe buscador global accesible desde cualquier pantalla.
US-05-AC-03: Se llega a los servicios principales en máximo 5 clics.</t>
  </si>
  <si>
    <t xml:space="preserve">Test de usabilidad con alumnos.</t>
  </si>
  <si>
    <t xml:space="preserve">Mantener compatibilidad con URLs existentes en medida de lo posible.</t>
  </si>
  <si>
    <t xml:space="preserve">La estimación original figura como -1h; requiere revisión antes de planificar.</t>
  </si>
  <si>
    <t xml:space="preserve">HU-06</t>
  </si>
  <si>
    <t xml:space="preserve">Información de la asignatura</t>
  </si>
  <si>
    <t xml:space="preserve">Como estudiante de la UNEX, quiero ver la ficha completa de una asignatura, sus docentes y partes asignadas de la asignatura a cada uno de ellos, para poder elegir las asignaturas a las que me matriculo con información suficiente.</t>
  </si>
  <si>
    <t xml:space="preserve">US-06-AC-01: La ficha muestra guía docente, horarios, profesor y créditos.
US-06-AC-02: La información se sincroniza con la fuente oficial.
US-06-AC-03: Es accesible sin autenticación.</t>
  </si>
  <si>
    <t xml:space="preserve">Comparación con datos del departamento.</t>
  </si>
  <si>
    <t xml:space="preserve">Información validada por el departamento responsable.</t>
  </si>
  <si>
    <t xml:space="preserve">HU-07</t>
  </si>
  <si>
    <t xml:space="preserve">Información de eventos</t>
  </si>
  <si>
    <t xml:space="preserve">Como estudiante de la UNEX, quiero consultar la información de eventos académicos para participar en los que me interesen.</t>
  </si>
  <si>
    <t xml:space="preserve">Could</t>
  </si>
  <si>
    <t xml:space="preserve">US-07-AC-01: Se muestra listado con fecha, lugar e inscripción.
US-07-AC-02: Solo aparecen eventos aprobados por el organizador.
US-07-AC-03: La actualización tarda menos de 30 min desde su publicación.</t>
  </si>
  <si>
    <t xml:space="preserve">Prueba de publicación y refresco.</t>
  </si>
  <si>
    <t xml:space="preserve">Fuente de eventos centralizada.</t>
  </si>
  <si>
    <t xml:space="preserve">HU-08</t>
  </si>
  <si>
    <t xml:space="preserve">Mejora del servicio CAUX</t>
  </si>
  <si>
    <t xml:space="preserve">Como estudiante de la UNEX, quiero resolver dudas con CAUX desde el campus, para no tener necesidad de llamar o desplazarme.</t>
  </si>
  <si>
    <t xml:space="preserve">US-08-AC-01: Se puede pedir cita previa online.
US-08-AC-02: Existe FAQ con buscador.
US-08-AC-03: La confirmación de cita llega en menos de 10s.</t>
  </si>
  <si>
    <t xml:space="preserve">Integración con el sistema de citas existente.</t>
  </si>
  <si>
    <t xml:space="preserve">Horarios y disponibilidad del personal.</t>
  </si>
  <si>
    <t xml:space="preserve">Conviene confirmar si la cita previa y la FAQ pertenecen realmente a una misma historia o si deberían separarse en funcionalidades distintas.</t>
  </si>
  <si>
    <t xml:space="preserve">EP-03</t>
  </si>
  <si>
    <t xml:space="preserve">Mejora de accesibilidad</t>
  </si>
  <si>
    <t xml:space="preserve">HU-09</t>
  </si>
  <si>
    <t xml:space="preserve">Solicitud ERASMUS accesible</t>
  </si>
  <si>
    <t xml:space="preserve">Como estudiante de la UNEX, quiero poder solicitar ERASMUS, seguir su estado y facilidad de entender cómo y qué documentos debo cumplimentar y dónde debo entregarlos para poder organizar mi experiencia ERASMUS de forma asequible.</t>
  </si>
  <si>
    <t xml:space="preserve">US-03</t>
  </si>
  <si>
    <t xml:space="preserve">US-09-AC-01: La solicitud permite adjuntar documentación.
US-09-AC-02: El estado es visible con al menos 4 fases.
US-09-AC-03: Se puede acceder a un listado para saber la documentación necesaria para cada fase.</t>
  </si>
  <si>
    <t xml:space="preserve">Prueba con requisitos de idioma y créditos.</t>
  </si>
  <si>
    <t xml:space="preserve">Plazos y convenios con universidades extranjeras.</t>
  </si>
  <si>
    <t xml:space="preserve">El documento indica US-03 como predecesor; conviene homogeneizar la nomenclatura HU/US durante la revisión.</t>
  </si>
  <si>
    <t xml:space="preserve">EP-04</t>
  </si>
  <si>
    <t xml:space="preserve">Cambio de diseño</t>
  </si>
  <si>
    <t xml:space="preserve">HU-10</t>
  </si>
  <si>
    <t xml:space="preserve">Campus más estético</t>
  </si>
  <si>
    <t xml:space="preserve">Como estudiante de la UNEX, quiero un campus visiblemente agradable, para que pueda usarlo a gusto.</t>
  </si>
  <si>
    <t xml:space="preserve">Won’t</t>
  </si>
  <si>
    <t xml:space="preserve">US-10-AC-01: Se aplica una nueva guía de estilo consistente.
US-10-AC-02: El contraste cumple WCAG AA.
US-10-AC-03: El diseño es responsive.</t>
  </si>
  <si>
    <t xml:space="preserve">Revisión con imagen corporativa.</t>
  </si>
  <si>
    <t xml:space="preserve">Sin romper accesibilidad ni funcionalidad.</t>
  </si>
  <si>
    <t xml:space="preserve">La historia es demasiado subjetiva al hablar de un campus “visiblemente agradable”; debería reformularse con criterios de usabilidad y accesibilidad.</t>
  </si>
  <si>
    <t xml:space="preserve">HU-11</t>
  </si>
  <si>
    <t xml:space="preserve">Directorio de perfiles</t>
  </si>
  <si>
    <t xml:space="preserve">Como usuario de la UNEX, quiero poder encontrar el perfil y contacto de un alumno o profesor de la UNEX para poder contactar con él.</t>
  </si>
  <si>
    <t xml:space="preserve">US-11-AC-01: Búsqueda por nombre, departamento o asignatura.
US-11-AC-02: Solo se muestra información pública autorizada.
US-11-AC-03: Los resultados en menos de 2 s.</t>
  </si>
  <si>
    <t xml:space="preserve">Prueba de acceso a datos sensibles.</t>
  </si>
  <si>
    <t xml:space="preserve">No exponer datos sensibles sin consentimiento previo.</t>
  </si>
  <si>
    <t xml:space="preserve">HU-12</t>
  </si>
  <si>
    <t xml:space="preserve">App de escritorio</t>
  </si>
  <si>
    <t xml:space="preserve">Como usuario de la UNEX, quiero una aplicación de escritorio para poder acceder al campus y su información más rápido y sin usar el navegador.</t>
  </si>
  <si>
    <t xml:space="preserve">Alta</t>
  </si>
  <si>
    <t xml:space="preserve">US-12-AC-01: Instalable en Windows y macOS.
US-12-AC-02: Login y accesos clave funcionan.
US-12-AC-03: Funcionamiento similar o mejor al campus en navegador.</t>
  </si>
  <si>
    <t xml:space="preserve">Pruebas de usuarios.</t>
  </si>
  <si>
    <t xml:space="preserve">Multiplataforma y actualizaciones automáticas.</t>
  </si>
  <si>
    <t xml:space="preserve">El alcance parece elevado para una única historia al incluir Windows, macOS, autenticación y actualizaciones; sería recomendable dividirla antes de planificar.</t>
  </si>
  <si>
    <t xml:space="preserve">HU-13</t>
  </si>
  <si>
    <t xml:space="preserve">App de móvil</t>
  </si>
  <si>
    <t xml:space="preserve">Como usuario de la UNEX, quiero una aplicación de móvil para poder acceder al campus cuando no tenga acceso a mi ordenador.</t>
  </si>
  <si>
    <t xml:space="preserve">US-13-AC-01: Diseño responsive en Android y iOS.
US-13-AC-02: Login y accesos clave funcionan.
US-13-AC-03: Funcionamiento similar al campus en navegador.</t>
  </si>
  <si>
    <t xml:space="preserve">Publicación en stores y pruebas en dispositivos reales.</t>
  </si>
  <si>
    <t xml:space="preserve">Mismas validaciones que la web.</t>
  </si>
  <si>
    <t xml:space="preserve">EP-05</t>
  </si>
  <si>
    <t xml:space="preserve">Mejora de administración técnica</t>
  </si>
  <si>
    <t xml:space="preserve">HU-14</t>
  </si>
  <si>
    <t xml:space="preserve">Protección contra fallos o pérdidas de conexión</t>
  </si>
  <si>
    <t xml:space="preserve">Como usuario de la UNEX, quiero que mi progreso durante un trámite no se vea interrumpido por un fallo de la web o por una pérdida de conexión, para no tener que rellenar un formulario largo varias veces.</t>
  </si>
  <si>
    <t xml:space="preserve">8+h</t>
  </si>
  <si>
    <t xml:space="preserve">US-14-AC-01: Autoguardado cada cambio de campo.
US-14-AC-02: Al reabrir se ofrece recuperar el borrador.
US-14-AC-03: Indicador visual "Guardado" / "Sin guardar".</t>
  </si>
  <si>
    <t xml:space="preserve">Prueba de corte de red y cierre inesperado.</t>
  </si>
  <si>
    <t xml:space="preserve">Los borradores caducan a los 30 días.</t>
  </si>
  <si>
    <t xml:space="preserve">La estimación original es abierta (8+h); falta una estimación cerrada para planificación y coste.</t>
  </si>
  <si>
    <t xml:space="preserve">HU-15</t>
  </si>
  <si>
    <t xml:space="preserve">Mejora de la base de datos y su gestión</t>
  </si>
  <si>
    <t xml:space="preserve">Como administrador de la UNEX, quiero una base de datos robusta, que no provoque fallos, para que el campus funcione sin errores y se eviten las pérdidas de datos.</t>
  </si>
  <si>
    <t xml:space="preserve">US-15-AC-01: Migración sin pérdida de datos.
US-15-AC-02: Backups automáticos diarios.
US-15-AC-03: Consultas críticas en menos de 1 s.</t>
  </si>
  <si>
    <t xml:space="preserve">Simulacro de restauración de backup.</t>
  </si>
  <si>
    <t xml:space="preserve">Ventanas de mantenimiento y compatibilidad con sistemas actuales.</t>
  </si>
  <si>
    <t xml:space="preserve">HU-16</t>
  </si>
  <si>
    <t xml:space="preserve">Mejoría de la estabilidad del servicio</t>
  </si>
  <si>
    <t xml:space="preserve">Como usuario de la UNEX, quiero que el campus esté disponible y sea estable, para poder usarlo cuando lo necesite.</t>
  </si>
  <si>
    <t xml:space="preserve">US-16-AC-01: Disponibilidad ≥99,5 % mensual.
US-16-AC-02: Monitorización con alertas ante caídas.
US-16-AC-03: Recuperación automática ante fallo de un nodo.</t>
  </si>
  <si>
    <t xml:space="preserve">Prueba de caos y simulación de fallo de nodo.</t>
  </si>
  <si>
    <t xml:space="preserve">RTO &lt;1 h y RPO &lt;15 min.</t>
  </si>
  <si>
    <t xml:space="preserve">HU-17</t>
  </si>
  <si>
    <t xml:space="preserve">Integración de Outlook dentro del campus</t>
  </si>
  <si>
    <t xml:space="preserve">Como usuario de la UNEX, quiero ver mi correo de Outlook dentro del campus, para no tener que cambiar de aplicación/pestaña.</t>
  </si>
  <si>
    <t xml:space="preserve">US-17-AC-01: Login SSO con cuenta institucional.
US-17-AC-02: Vista de calendario y eventos.
US-17-AC-03: Sincronización en menos de 5 min.</t>
  </si>
  <si>
    <t xml:space="preserve">Prueba con API de Microsoft y permisos TI.</t>
  </si>
  <si>
    <t xml:space="preserve">Cumplimiento de políticas de seguridad.</t>
  </si>
  <si>
    <t xml:space="preserve">Resumen del catálogo de requisitos</t>
  </si>
  <si>
    <t xml:space="preserve">Indicador</t>
  </si>
  <si>
    <t xml:space="preserve">Valor</t>
  </si>
  <si>
    <t xml:space="preserve">Nº HU</t>
  </si>
  <si>
    <t xml:space="preserve">Historias totales</t>
  </si>
  <si>
    <t xml:space="preserve">Notas: Las columnas “Estimación planificación (h)” y “Cumple DoR” quedan sin rellenar porque no están determinadas en el documento fuente. Las estimaciones -1h y 8+h se conservan tal como aparecen y se señalan en Observaciones para revisión.</t>
  </si>
</sst>
</file>

<file path=xl/styles.xml><?xml version="1.0" encoding="utf-8"?>
<styleSheet xmlns="http://schemas.openxmlformats.org/spreadsheetml/2006/main">
  <numFmts count="1">
    <numFmt numFmtId="164" formatCode="General"/>
  </numFmts>
  <fonts count="8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Calibri"/>
      <family val="0"/>
      <charset val="1"/>
    </font>
    <font>
      <b val="true"/>
      <sz val="11"/>
      <color rgb="FFFFFFFF"/>
      <name val="Calibri"/>
      <family val="0"/>
      <charset val="1"/>
    </font>
    <font>
      <b val="true"/>
      <sz val="14"/>
      <color rgb="FFFFFFFF"/>
      <name val="Calibri"/>
      <family val="0"/>
      <charset val="1"/>
    </font>
    <font>
      <b val="true"/>
      <sz val="11"/>
      <name val="Calibri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9EAF7"/>
        <bgColor rgb="FFD9EAD3"/>
      </patternFill>
    </fill>
    <fill>
      <patternFill patternType="solid">
        <fgColor rgb="FFF3F6F9"/>
        <bgColor rgb="FFFFFFFF"/>
      </patternFill>
    </fill>
  </fills>
  <borders count="1">
    <border diagonalUp="false" diagonalDown="false">
      <left/>
      <right/>
      <top/>
      <bottom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4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2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3" borderId="0" xfId="2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7" fillId="3" borderId="0" xfId="2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0" borderId="0" xfId="2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0" xfId="2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" xfId="20"/>
  </cellStyles>
  <dxfs count="14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D9D9D9"/>
          <bgColor rgb="FF000000"/>
        </patternFill>
      </fill>
    </dxf>
    <dxf>
      <fill>
        <patternFill patternType="solid">
          <fgColor rgb="FFD9EAD3"/>
          <bgColor rgb="FF000000"/>
        </patternFill>
      </fill>
    </dxf>
    <dxf>
      <fill>
        <patternFill patternType="solid">
          <fgColor rgb="FFF4CCCC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  <dxf>
      <fill>
        <patternFill>
          <bgColor rgb="FFD9D9D9"/>
        </patternFill>
      </fill>
    </dxf>
    <dxf>
      <fill>
        <patternFill>
          <bgColor rgb="FFF4CCCC"/>
        </patternFill>
      </fill>
    </dxf>
    <dxf>
      <fill>
        <patternFill>
          <bgColor rgb="FFFFF2CC"/>
        </patternFill>
      </fill>
    </dxf>
    <dxf>
      <fill>
        <patternFill>
          <bgColor rgb="FFD9EAD3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9EAF7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3F6F9"/>
      <rgbColor rgb="FFD9EAD3"/>
      <rgbColor rgb="FFFFFF99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ables/table1.xml><?xml version="1.0" encoding="utf-8"?>
<table xmlns="http://schemas.openxmlformats.org/spreadsheetml/2006/main" id="1" name="RequisitosTable" displayName="RequisitosTable" ref="A1:Q18" headerRowCount="1" totalsRowCount="0" totalsRowShown="0">
  <tableColumns count="17">
    <tableColumn id="1" name="Épica ID"/>
    <tableColumn id="2" name="Épica"/>
    <tableColumn id="3" name="HU ID"/>
    <tableColumn id="4" name="Título"/>
    <tableColumn id="5" name="Historia de usuario"/>
    <tableColumn id="6" name="Prioridad"/>
    <tableColumn id="7" name="Estimación original"/>
    <tableColumn id="8" name="Estimación mínima (h)"/>
    <tableColumn id="9" name="Estimación máxima (h)"/>
    <tableColumn id="10" name="Estimación planificación (h)"/>
    <tableColumn id="11" name="Incertidumbre"/>
    <tableColumn id="12" name="Predecesores"/>
    <tableColumn id="13" name="Criterios de aceptación"/>
    <tableColumn id="14" name="Verificaciones"/>
    <tableColumn id="15" name="Restricciones"/>
    <tableColumn id="16" name="Cumple DoR"/>
    <tableColumn id="17" name="Observaciones Reviewer"/>
  </tableColumns>
</table>
</file>

<file path=xl/theme/theme1.xml><?xml version="1.0" encoding="utf-8"?>
<a:theme xmlns:a="http://schemas.openxmlformats.org/drawingml/2006/main" xmlns:r="http://schemas.openxmlformats.org/officeDocument/2006/relationships" name="ChatGPT">
  <a:themeElements>
    <a:clrScheme name="ChatGPT">
      <a:dk1>
        <a:srgbClr val="000000"/>
      </a:dk1>
      <a:lt1>
        <a:srgbClr val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 pitchFamily="0" charset="1"/>
        <a:ea typeface="Calibri Light" pitchFamily="0" charset="1"/>
        <a:cs typeface="Calibri Light" pitchFamily="0" charset="1"/>
      </a:majorFont>
      <a:minorFont>
        <a:latin typeface="Calibri" pitchFamily="0" charset="1"/>
        <a:ea typeface="Calibri" pitchFamily="0" charset="1"/>
        <a:cs typeface="Calibri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</a:schemeClr>
            </a:gs>
            <a:gs pos="50000">
              <a:schemeClr val="phClr">
                <a:tint val="73000"/>
                <a:lumMod val="105000"/>
              </a:schemeClr>
            </a:gs>
            <a:gs pos="100000">
              <a:schemeClr val="phClr">
                <a:tint val="81000"/>
                <a:lumMod val="105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tint val="94000"/>
                <a:lumMod val="102000"/>
              </a:schemeClr>
            </a:gs>
            <a:gs pos="50000">
              <a:schemeClr val="phClr">
                <a:shade val="100000"/>
                <a:lumMod val="100000"/>
              </a:schemeClr>
            </a:gs>
            <a:gs pos="100000">
              <a:schemeClr val="phClr">
                <a:shade val="78000"/>
                <a:lumMod val="99000"/>
              </a:schemeClr>
            </a:gs>
          </a:gsLst>
          <a:lin ang="5400000" scaled="0"/>
          <a:tileRect l="0" t="0" r="0" b="0"/>
        </a:gradFill>
      </a:fillStyleLst>
      <a:lnStyleLst>
        <a:ln w="12700">
          <a:prstDash val="solid"/>
        </a:ln>
        <a:ln w="19050">
          <a:prstDash val="solid"/>
        </a:ln>
        <a:ln w="254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table" Target="../tables/table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J15" activeCellId="0" sqref="J15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24"/>
    <col collapsed="false" customWidth="true" hidden="false" outlineLevel="0" max="3" min="3" style="0" width="9"/>
    <col collapsed="false" customWidth="true" hidden="false" outlineLevel="0" max="4" min="4" style="0" width="28"/>
    <col collapsed="false" customWidth="true" hidden="false" outlineLevel="0" max="5" min="5" style="0" width="42"/>
    <col collapsed="false" customWidth="true" hidden="false" outlineLevel="0" max="6" min="6" style="0" width="11"/>
    <col collapsed="false" customWidth="true" hidden="false" outlineLevel="0" max="7" min="7" style="0" width="16"/>
    <col collapsed="false" customWidth="true" hidden="false" outlineLevel="0" max="9" min="8" style="0" width="12"/>
    <col collapsed="false" customWidth="true" hidden="false" outlineLevel="0" max="10" min="10" style="0" width="16"/>
    <col collapsed="false" customWidth="true" hidden="false" outlineLevel="0" max="11" min="11" style="0" width="13"/>
    <col collapsed="false" customWidth="true" hidden="false" outlineLevel="0" max="12" min="12" style="0" width="14"/>
    <col collapsed="false" customWidth="true" hidden="false" outlineLevel="0" max="13" min="13" style="0" width="48"/>
    <col collapsed="false" customWidth="true" hidden="false" outlineLevel="0" max="14" min="14" style="0" width="32"/>
    <col collapsed="false" customWidth="true" hidden="false" outlineLevel="0" max="15" min="15" style="0" width="34"/>
    <col collapsed="false" customWidth="true" hidden="false" outlineLevel="0" max="16" min="16" style="0" width="12"/>
    <col collapsed="false" customWidth="true" hidden="false" outlineLevel="0" max="17" min="17" style="0" width="38"/>
  </cols>
  <sheetData>
    <row r="1" customFormat="false" ht="36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69.85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n">
        <v>5</v>
      </c>
      <c r="I2" s="2" t="n">
        <v>8</v>
      </c>
      <c r="J2" s="2" t="n">
        <v>5</v>
      </c>
      <c r="K2" s="2" t="s">
        <v>24</v>
      </c>
      <c r="L2" s="2"/>
      <c r="M2" s="2" t="s">
        <v>25</v>
      </c>
      <c r="N2" s="2" t="s">
        <v>26</v>
      </c>
      <c r="O2" s="2" t="s">
        <v>27</v>
      </c>
      <c r="P2" s="2"/>
      <c r="Q2" s="2" t="s">
        <v>28</v>
      </c>
    </row>
    <row r="3" customFormat="false" ht="69.85" hidden="false" customHeight="false" outlineLevel="0" collapsed="false">
      <c r="A3" s="2" t="s">
        <v>17</v>
      </c>
      <c r="B3" s="2" t="s">
        <v>18</v>
      </c>
      <c r="C3" s="2" t="s">
        <v>29</v>
      </c>
      <c r="D3" s="2" t="s">
        <v>30</v>
      </c>
      <c r="E3" s="2" t="s">
        <v>31</v>
      </c>
      <c r="F3" s="2" t="s">
        <v>22</v>
      </c>
      <c r="G3" s="2" t="s">
        <v>23</v>
      </c>
      <c r="H3" s="2" t="n">
        <v>5</v>
      </c>
      <c r="I3" s="2" t="n">
        <v>8</v>
      </c>
      <c r="J3" s="2" t="n">
        <v>6</v>
      </c>
      <c r="K3" s="2" t="s">
        <v>24</v>
      </c>
      <c r="L3" s="2"/>
      <c r="M3" s="2" t="s">
        <v>32</v>
      </c>
      <c r="N3" s="2" t="s">
        <v>33</v>
      </c>
      <c r="O3" s="2" t="s">
        <v>27</v>
      </c>
      <c r="P3" s="2"/>
      <c r="Q3" s="2" t="s">
        <v>34</v>
      </c>
    </row>
    <row r="4" customFormat="false" ht="69.85" hidden="false" customHeight="false" outlineLevel="0" collapsed="false">
      <c r="A4" s="2" t="s">
        <v>17</v>
      </c>
      <c r="B4" s="2" t="s">
        <v>18</v>
      </c>
      <c r="C4" s="2" t="s">
        <v>35</v>
      </c>
      <c r="D4" s="2" t="s">
        <v>36</v>
      </c>
      <c r="E4" s="2" t="s">
        <v>37</v>
      </c>
      <c r="F4" s="2" t="s">
        <v>22</v>
      </c>
      <c r="G4" s="2" t="s">
        <v>38</v>
      </c>
      <c r="H4" s="2" t="n">
        <v>3</v>
      </c>
      <c r="I4" s="2" t="n">
        <v>5</v>
      </c>
      <c r="J4" s="2" t="n">
        <v>5</v>
      </c>
      <c r="K4" s="2" t="s">
        <v>39</v>
      </c>
      <c r="L4" s="2"/>
      <c r="M4" s="2" t="s">
        <v>40</v>
      </c>
      <c r="N4" s="2" t="s">
        <v>41</v>
      </c>
      <c r="O4" s="2" t="s">
        <v>42</v>
      </c>
      <c r="P4" s="2"/>
      <c r="Q4" s="2" t="s">
        <v>43</v>
      </c>
    </row>
    <row r="5" customFormat="false" ht="58.4" hidden="false" customHeight="false" outlineLevel="0" collapsed="false">
      <c r="A5" s="2" t="s">
        <v>17</v>
      </c>
      <c r="B5" s="2" t="s">
        <v>18</v>
      </c>
      <c r="C5" s="2" t="s">
        <v>44</v>
      </c>
      <c r="D5" s="2" t="s">
        <v>45</v>
      </c>
      <c r="E5" s="2" t="s">
        <v>46</v>
      </c>
      <c r="F5" s="2" t="s">
        <v>47</v>
      </c>
      <c r="G5" s="2" t="s">
        <v>48</v>
      </c>
      <c r="H5" s="2" t="n">
        <v>1</v>
      </c>
      <c r="I5" s="2" t="n">
        <v>3</v>
      </c>
      <c r="J5" s="2" t="n">
        <v>2</v>
      </c>
      <c r="K5" s="2" t="s">
        <v>24</v>
      </c>
      <c r="L5" s="2"/>
      <c r="M5" s="2" t="s">
        <v>49</v>
      </c>
      <c r="N5" s="2" t="s">
        <v>50</v>
      </c>
      <c r="O5" s="2" t="s">
        <v>51</v>
      </c>
      <c r="P5" s="2"/>
      <c r="Q5" s="2" t="s">
        <v>52</v>
      </c>
    </row>
    <row r="6" customFormat="false" ht="58.4" hidden="false" customHeight="false" outlineLevel="0" collapsed="false">
      <c r="A6" s="2" t="s">
        <v>53</v>
      </c>
      <c r="B6" s="2" t="s">
        <v>54</v>
      </c>
      <c r="C6" s="2" t="s">
        <v>55</v>
      </c>
      <c r="D6" s="2" t="s">
        <v>56</v>
      </c>
      <c r="E6" s="2" t="s">
        <v>57</v>
      </c>
      <c r="F6" s="2" t="s">
        <v>22</v>
      </c>
      <c r="G6" s="2" t="s">
        <v>58</v>
      </c>
      <c r="H6" s="2"/>
      <c r="I6" s="2"/>
      <c r="J6" s="2"/>
      <c r="K6" s="2" t="s">
        <v>24</v>
      </c>
      <c r="L6" s="2"/>
      <c r="M6" s="2" t="s">
        <v>59</v>
      </c>
      <c r="N6" s="2" t="s">
        <v>60</v>
      </c>
      <c r="O6" s="2" t="s">
        <v>61</v>
      </c>
      <c r="P6" s="2"/>
      <c r="Q6" s="2" t="s">
        <v>62</v>
      </c>
    </row>
    <row r="7" customFormat="false" ht="58.4" hidden="false" customHeight="false" outlineLevel="0" collapsed="false">
      <c r="A7" s="2" t="s">
        <v>53</v>
      </c>
      <c r="B7" s="2" t="s">
        <v>54</v>
      </c>
      <c r="C7" s="2" t="s">
        <v>63</v>
      </c>
      <c r="D7" s="2" t="s">
        <v>64</v>
      </c>
      <c r="E7" s="2" t="s">
        <v>65</v>
      </c>
      <c r="F7" s="2" t="s">
        <v>47</v>
      </c>
      <c r="G7" s="2" t="s">
        <v>58</v>
      </c>
      <c r="H7" s="2"/>
      <c r="I7" s="2"/>
      <c r="J7" s="2"/>
      <c r="K7" s="2" t="s">
        <v>24</v>
      </c>
      <c r="L7" s="2"/>
      <c r="M7" s="2" t="s">
        <v>66</v>
      </c>
      <c r="N7" s="2" t="s">
        <v>67</v>
      </c>
      <c r="O7" s="2" t="s">
        <v>68</v>
      </c>
      <c r="P7" s="2"/>
      <c r="Q7" s="2" t="s">
        <v>62</v>
      </c>
    </row>
    <row r="8" customFormat="false" ht="69.85" hidden="false" customHeight="false" outlineLevel="0" collapsed="false">
      <c r="A8" s="2" t="s">
        <v>53</v>
      </c>
      <c r="B8" s="2" t="s">
        <v>54</v>
      </c>
      <c r="C8" s="2" t="s">
        <v>69</v>
      </c>
      <c r="D8" s="2" t="s">
        <v>70</v>
      </c>
      <c r="E8" s="2" t="s">
        <v>71</v>
      </c>
      <c r="F8" s="2" t="s">
        <v>72</v>
      </c>
      <c r="G8" s="2" t="s">
        <v>58</v>
      </c>
      <c r="H8" s="2"/>
      <c r="I8" s="2"/>
      <c r="J8" s="2"/>
      <c r="K8" s="2" t="s">
        <v>24</v>
      </c>
      <c r="L8" s="2"/>
      <c r="M8" s="2" t="s">
        <v>73</v>
      </c>
      <c r="N8" s="2" t="s">
        <v>74</v>
      </c>
      <c r="O8" s="2" t="s">
        <v>75</v>
      </c>
      <c r="P8" s="2"/>
      <c r="Q8" s="2" t="s">
        <v>62</v>
      </c>
    </row>
    <row r="9" customFormat="false" ht="46.95" hidden="false" customHeight="false" outlineLevel="0" collapsed="false">
      <c r="A9" s="2" t="s">
        <v>53</v>
      </c>
      <c r="B9" s="2" t="s">
        <v>54</v>
      </c>
      <c r="C9" s="2" t="s">
        <v>76</v>
      </c>
      <c r="D9" s="2" t="s">
        <v>77</v>
      </c>
      <c r="E9" s="2" t="s">
        <v>78</v>
      </c>
      <c r="F9" s="2" t="s">
        <v>72</v>
      </c>
      <c r="G9" s="2" t="s">
        <v>48</v>
      </c>
      <c r="H9" s="2" t="n">
        <v>1</v>
      </c>
      <c r="I9" s="2" t="n">
        <v>3</v>
      </c>
      <c r="J9" s="2" t="n">
        <v>2</v>
      </c>
      <c r="K9" s="2" t="s">
        <v>39</v>
      </c>
      <c r="L9" s="2"/>
      <c r="M9" s="2" t="s">
        <v>79</v>
      </c>
      <c r="N9" s="2" t="s">
        <v>80</v>
      </c>
      <c r="O9" s="2" t="s">
        <v>81</v>
      </c>
      <c r="P9" s="2"/>
      <c r="Q9" s="2" t="s">
        <v>82</v>
      </c>
    </row>
    <row r="10" customFormat="false" ht="58.4" hidden="false" customHeight="false" outlineLevel="0" collapsed="false">
      <c r="A10" s="2" t="s">
        <v>83</v>
      </c>
      <c r="B10" s="2" t="s">
        <v>84</v>
      </c>
      <c r="C10" s="2" t="s">
        <v>85</v>
      </c>
      <c r="D10" s="2" t="s">
        <v>86</v>
      </c>
      <c r="E10" s="2" t="s">
        <v>87</v>
      </c>
      <c r="F10" s="2" t="s">
        <v>72</v>
      </c>
      <c r="G10" s="2" t="s">
        <v>48</v>
      </c>
      <c r="H10" s="2" t="n">
        <v>1</v>
      </c>
      <c r="I10" s="2" t="n">
        <v>3</v>
      </c>
      <c r="J10" s="2" t="n">
        <v>2</v>
      </c>
      <c r="K10" s="2" t="s">
        <v>39</v>
      </c>
      <c r="L10" s="2" t="s">
        <v>88</v>
      </c>
      <c r="M10" s="2" t="s">
        <v>89</v>
      </c>
      <c r="N10" s="2" t="s">
        <v>90</v>
      </c>
      <c r="O10" s="2" t="s">
        <v>91</v>
      </c>
      <c r="P10" s="2"/>
      <c r="Q10" s="2" t="s">
        <v>92</v>
      </c>
    </row>
    <row r="11" customFormat="false" ht="46.95" hidden="false" customHeight="false" outlineLevel="0" collapsed="false">
      <c r="A11" s="2" t="s">
        <v>93</v>
      </c>
      <c r="B11" s="2" t="s">
        <v>94</v>
      </c>
      <c r="C11" s="2" t="s">
        <v>95</v>
      </c>
      <c r="D11" s="2" t="s">
        <v>96</v>
      </c>
      <c r="E11" s="2" t="s">
        <v>97</v>
      </c>
      <c r="F11" s="2" t="s">
        <v>98</v>
      </c>
      <c r="G11" s="2" t="s">
        <v>48</v>
      </c>
      <c r="H11" s="2" t="n">
        <v>1</v>
      </c>
      <c r="I11" s="2" t="n">
        <v>3</v>
      </c>
      <c r="J11" s="2" t="n">
        <v>1</v>
      </c>
      <c r="K11" s="2" t="s">
        <v>24</v>
      </c>
      <c r="L11" s="2"/>
      <c r="M11" s="2" t="s">
        <v>99</v>
      </c>
      <c r="N11" s="2" t="s">
        <v>100</v>
      </c>
      <c r="O11" s="2" t="s">
        <v>101</v>
      </c>
      <c r="P11" s="2"/>
      <c r="Q11" s="2" t="s">
        <v>102</v>
      </c>
    </row>
    <row r="12" customFormat="false" ht="58.4" hidden="false" customHeight="false" outlineLevel="0" collapsed="false">
      <c r="A12" s="2" t="s">
        <v>93</v>
      </c>
      <c r="B12" s="2" t="s">
        <v>94</v>
      </c>
      <c r="C12" s="2" t="s">
        <v>103</v>
      </c>
      <c r="D12" s="2" t="s">
        <v>104</v>
      </c>
      <c r="E12" s="2" t="s">
        <v>105</v>
      </c>
      <c r="F12" s="2" t="s">
        <v>47</v>
      </c>
      <c r="G12" s="2" t="s">
        <v>58</v>
      </c>
      <c r="H12" s="2"/>
      <c r="I12" s="2"/>
      <c r="J12" s="2"/>
      <c r="K12" s="2" t="s">
        <v>24</v>
      </c>
      <c r="L12" s="2"/>
      <c r="M12" s="2" t="s">
        <v>106</v>
      </c>
      <c r="N12" s="2" t="s">
        <v>107</v>
      </c>
      <c r="O12" s="2" t="s">
        <v>108</v>
      </c>
      <c r="P12" s="2"/>
      <c r="Q12" s="2" t="s">
        <v>62</v>
      </c>
    </row>
    <row r="13" customFormat="false" ht="46.95" hidden="false" customHeight="false" outlineLevel="0" collapsed="false">
      <c r="A13" s="2" t="s">
        <v>93</v>
      </c>
      <c r="B13" s="2" t="s">
        <v>94</v>
      </c>
      <c r="C13" s="2" t="s">
        <v>109</v>
      </c>
      <c r="D13" s="2" t="s">
        <v>110</v>
      </c>
      <c r="E13" s="2" t="s">
        <v>111</v>
      </c>
      <c r="F13" s="2" t="s">
        <v>98</v>
      </c>
      <c r="G13" s="2" t="s">
        <v>23</v>
      </c>
      <c r="H13" s="2" t="n">
        <v>5</v>
      </c>
      <c r="I13" s="2" t="n">
        <v>8</v>
      </c>
      <c r="J13" s="2" t="n">
        <v>6</v>
      </c>
      <c r="K13" s="2" t="s">
        <v>112</v>
      </c>
      <c r="L13" s="2"/>
      <c r="M13" s="2" t="s">
        <v>113</v>
      </c>
      <c r="N13" s="2" t="s">
        <v>114</v>
      </c>
      <c r="O13" s="2" t="s">
        <v>115</v>
      </c>
      <c r="P13" s="2"/>
      <c r="Q13" s="2" t="s">
        <v>116</v>
      </c>
    </row>
    <row r="14" customFormat="false" ht="46.95" hidden="false" customHeight="false" outlineLevel="0" collapsed="false">
      <c r="A14" s="2" t="s">
        <v>93</v>
      </c>
      <c r="B14" s="2" t="s">
        <v>94</v>
      </c>
      <c r="C14" s="2" t="s">
        <v>117</v>
      </c>
      <c r="D14" s="2" t="s">
        <v>118</v>
      </c>
      <c r="E14" s="2" t="s">
        <v>119</v>
      </c>
      <c r="F14" s="2" t="s">
        <v>72</v>
      </c>
      <c r="G14" s="2" t="s">
        <v>23</v>
      </c>
      <c r="H14" s="2" t="n">
        <v>5</v>
      </c>
      <c r="I14" s="2" t="n">
        <v>8</v>
      </c>
      <c r="J14" s="2" t="n">
        <v>7</v>
      </c>
      <c r="K14" s="2" t="s">
        <v>112</v>
      </c>
      <c r="L14" s="2"/>
      <c r="M14" s="2" t="s">
        <v>120</v>
      </c>
      <c r="N14" s="2" t="s">
        <v>121</v>
      </c>
      <c r="O14" s="2" t="s">
        <v>122</v>
      </c>
      <c r="P14" s="2"/>
      <c r="Q14" s="2" t="s">
        <v>116</v>
      </c>
    </row>
    <row r="15" customFormat="false" ht="58.4" hidden="false" customHeight="false" outlineLevel="0" collapsed="false">
      <c r="A15" s="2" t="s">
        <v>123</v>
      </c>
      <c r="B15" s="2" t="s">
        <v>124</v>
      </c>
      <c r="C15" s="2" t="s">
        <v>125</v>
      </c>
      <c r="D15" s="2" t="s">
        <v>126</v>
      </c>
      <c r="E15" s="2" t="s">
        <v>127</v>
      </c>
      <c r="F15" s="2" t="s">
        <v>22</v>
      </c>
      <c r="G15" s="2" t="s">
        <v>128</v>
      </c>
      <c r="H15" s="2" t="n">
        <v>8</v>
      </c>
      <c r="I15" s="2"/>
      <c r="J15" s="2"/>
      <c r="K15" s="2" t="s">
        <v>112</v>
      </c>
      <c r="L15" s="2"/>
      <c r="M15" s="2" t="s">
        <v>129</v>
      </c>
      <c r="N15" s="2" t="s">
        <v>130</v>
      </c>
      <c r="O15" s="2" t="s">
        <v>131</v>
      </c>
      <c r="P15" s="2"/>
      <c r="Q15" s="2" t="s">
        <v>132</v>
      </c>
    </row>
    <row r="16" customFormat="false" ht="46.95" hidden="false" customHeight="false" outlineLevel="0" collapsed="false">
      <c r="A16" s="2" t="s">
        <v>123</v>
      </c>
      <c r="B16" s="2" t="s">
        <v>124</v>
      </c>
      <c r="C16" s="2" t="s">
        <v>133</v>
      </c>
      <c r="D16" s="2" t="s">
        <v>134</v>
      </c>
      <c r="E16" s="2" t="s">
        <v>135</v>
      </c>
      <c r="F16" s="2" t="s">
        <v>22</v>
      </c>
      <c r="G16" s="2" t="s">
        <v>128</v>
      </c>
      <c r="H16" s="2" t="n">
        <v>8</v>
      </c>
      <c r="I16" s="2"/>
      <c r="J16" s="2"/>
      <c r="K16" s="2" t="s">
        <v>112</v>
      </c>
      <c r="L16" s="2"/>
      <c r="M16" s="2" t="s">
        <v>136</v>
      </c>
      <c r="N16" s="2" t="s">
        <v>137</v>
      </c>
      <c r="O16" s="2" t="s">
        <v>138</v>
      </c>
      <c r="P16" s="2"/>
      <c r="Q16" s="2" t="s">
        <v>132</v>
      </c>
    </row>
    <row r="17" customFormat="false" ht="46.95" hidden="false" customHeight="false" outlineLevel="0" collapsed="false">
      <c r="A17" s="2" t="s">
        <v>123</v>
      </c>
      <c r="B17" s="2" t="s">
        <v>124</v>
      </c>
      <c r="C17" s="2" t="s">
        <v>139</v>
      </c>
      <c r="D17" s="2" t="s">
        <v>140</v>
      </c>
      <c r="E17" s="2" t="s">
        <v>141</v>
      </c>
      <c r="F17" s="2" t="s">
        <v>22</v>
      </c>
      <c r="G17" s="2" t="s">
        <v>128</v>
      </c>
      <c r="H17" s="2" t="n">
        <v>8</v>
      </c>
      <c r="I17" s="2"/>
      <c r="J17" s="2"/>
      <c r="K17" s="2" t="s">
        <v>112</v>
      </c>
      <c r="L17" s="2"/>
      <c r="M17" s="2" t="s">
        <v>142</v>
      </c>
      <c r="N17" s="2" t="s">
        <v>143</v>
      </c>
      <c r="O17" s="2" t="s">
        <v>144</v>
      </c>
      <c r="P17" s="2"/>
      <c r="Q17" s="2" t="s">
        <v>132</v>
      </c>
    </row>
    <row r="18" customFormat="false" ht="35.5" hidden="false" customHeight="false" outlineLevel="0" collapsed="false">
      <c r="A18" s="2" t="s">
        <v>123</v>
      </c>
      <c r="B18" s="2" t="s">
        <v>124</v>
      </c>
      <c r="C18" s="2" t="s">
        <v>145</v>
      </c>
      <c r="D18" s="2" t="s">
        <v>146</v>
      </c>
      <c r="E18" s="2" t="s">
        <v>147</v>
      </c>
      <c r="F18" s="2" t="s">
        <v>72</v>
      </c>
      <c r="G18" s="2" t="s">
        <v>128</v>
      </c>
      <c r="H18" s="2" t="n">
        <v>8</v>
      </c>
      <c r="I18" s="2"/>
      <c r="J18" s="2"/>
      <c r="K18" s="2" t="s">
        <v>112</v>
      </c>
      <c r="L18" s="2"/>
      <c r="M18" s="2" t="s">
        <v>148</v>
      </c>
      <c r="N18" s="2" t="s">
        <v>149</v>
      </c>
      <c r="O18" s="2" t="s">
        <v>150</v>
      </c>
      <c r="P18" s="2"/>
      <c r="Q18" s="2" t="s">
        <v>132</v>
      </c>
    </row>
  </sheetData>
  <conditionalFormatting sqref="F2:F7">
    <cfRule type="expression" priority="2" aboveAverage="0" equalAverage="0" bottom="0" percent="0" rank="0" text="" dxfId="7">
      <formula>F2="Must"</formula>
    </cfRule>
    <cfRule type="expression" priority="3" aboveAverage="0" equalAverage="0" bottom="0" percent="0" rank="0" text="" dxfId="8">
      <formula>F2="Should"</formula>
    </cfRule>
    <cfRule type="expression" priority="4" aboveAverage="0" equalAverage="0" bottom="0" percent="0" rank="0" text="" dxfId="9">
      <formula>F2="Could"</formula>
    </cfRule>
    <cfRule type="expression" priority="5" aboveAverage="0" equalAverage="0" bottom="0" percent="0" rank="0" text="" dxfId="10">
      <formula>F2="Won’t"</formula>
    </cfRule>
  </conditionalFormatting>
  <conditionalFormatting sqref="F8">
    <cfRule type="expression" priority="6" aboveAverage="0" equalAverage="0" bottom="0" percent="0" rank="0" text="" dxfId="7">
      <formula>F8="Must"</formula>
    </cfRule>
    <cfRule type="expression" priority="7" aboveAverage="0" equalAverage="0" bottom="0" percent="0" rank="0" text="" dxfId="8">
      <formula>F8="Should"</formula>
    </cfRule>
    <cfRule type="expression" priority="8" aboveAverage="0" equalAverage="0" bottom="0" percent="0" rank="0" text="" dxfId="9">
      <formula>F8="Could"</formula>
    </cfRule>
    <cfRule type="expression" priority="9" aboveAverage="0" equalAverage="0" bottom="0" percent="0" rank="0" text="" dxfId="10">
      <formula>F8="Won’t"</formula>
    </cfRule>
  </conditionalFormatting>
  <conditionalFormatting sqref="F18">
    <cfRule type="expression" priority="10" aboveAverage="0" equalAverage="0" bottom="0" percent="0" rank="0" text="" dxfId="7">
      <formula>F18="Must"</formula>
    </cfRule>
    <cfRule type="expression" priority="11" aboveAverage="0" equalAverage="0" bottom="0" percent="0" rank="0" text="" dxfId="8">
      <formula>F18="Should"</formula>
    </cfRule>
    <cfRule type="expression" priority="12" aboveAverage="0" equalAverage="0" bottom="0" percent="0" rank="0" text="" dxfId="9">
      <formula>F18="Could"</formula>
    </cfRule>
    <cfRule type="expression" priority="13" aboveAverage="0" equalAverage="0" bottom="0" percent="0" rank="0" text="" dxfId="10">
      <formula>F18="Won’t"</formula>
    </cfRule>
  </conditionalFormatting>
  <conditionalFormatting sqref="F9:F17">
    <cfRule type="expression" priority="14" aboveAverage="0" equalAverage="0" bottom="0" percent="0" rank="0" text="" dxfId="7">
      <formula>F9="Must"</formula>
    </cfRule>
    <cfRule type="expression" priority="15" aboveAverage="0" equalAverage="0" bottom="0" percent="0" rank="0" text="" dxfId="8">
      <formula>F9="Should"</formula>
    </cfRule>
    <cfRule type="expression" priority="16" aboveAverage="0" equalAverage="0" bottom="0" percent="0" rank="0" text="" dxfId="9">
      <formula>F9="Could"</formula>
    </cfRule>
    <cfRule type="expression" priority="17" aboveAverage="0" equalAverage="0" bottom="0" percent="0" rank="0" text="" dxfId="10">
      <formula>F9="Won’t"</formula>
    </cfRule>
  </conditionalFormatting>
  <conditionalFormatting sqref="K2:K7">
    <cfRule type="expression" priority="18" aboveAverage="0" equalAverage="0" bottom="0" percent="0" rank="0" text="" dxfId="11">
      <formula>K2="Alta"</formula>
    </cfRule>
    <cfRule type="expression" priority="19" aboveAverage="0" equalAverage="0" bottom="0" percent="0" rank="0" text="" dxfId="12">
      <formula>K2="Media"</formula>
    </cfRule>
    <cfRule type="expression" priority="20" aboveAverage="0" equalAverage="0" bottom="0" percent="0" rank="0" text="" dxfId="13">
      <formula>K2="Baja"</formula>
    </cfRule>
  </conditionalFormatting>
  <conditionalFormatting sqref="K8">
    <cfRule type="expression" priority="21" aboveAverage="0" equalAverage="0" bottom="0" percent="0" rank="0" text="" dxfId="11">
      <formula>K8="Alta"</formula>
    </cfRule>
    <cfRule type="expression" priority="22" aboveAverage="0" equalAverage="0" bottom="0" percent="0" rank="0" text="" dxfId="12">
      <formula>K8="Media"</formula>
    </cfRule>
    <cfRule type="expression" priority="23" aboveAverage="0" equalAverage="0" bottom="0" percent="0" rank="0" text="" dxfId="13">
      <formula>K8="Baja"</formula>
    </cfRule>
  </conditionalFormatting>
  <conditionalFormatting sqref="K18">
    <cfRule type="expression" priority="24" aboveAverage="0" equalAverage="0" bottom="0" percent="0" rank="0" text="" dxfId="11">
      <formula>K18="Alta"</formula>
    </cfRule>
    <cfRule type="expression" priority="25" aboveAverage="0" equalAverage="0" bottom="0" percent="0" rank="0" text="" dxfId="12">
      <formula>K18="Media"</formula>
    </cfRule>
    <cfRule type="expression" priority="26" aboveAverage="0" equalAverage="0" bottom="0" percent="0" rank="0" text="" dxfId="13">
      <formula>K18="Baja"</formula>
    </cfRule>
  </conditionalFormatting>
  <conditionalFormatting sqref="K9:K17">
    <cfRule type="expression" priority="27" aboveAverage="0" equalAverage="0" bottom="0" percent="0" rank="0" text="" dxfId="11">
      <formula>K9="Alta"</formula>
    </cfRule>
    <cfRule type="expression" priority="28" aboveAverage="0" equalAverage="0" bottom="0" percent="0" rank="0" text="" dxfId="12">
      <formula>K9="Media"</formula>
    </cfRule>
    <cfRule type="expression" priority="29" aboveAverage="0" equalAverage="0" bottom="0" percent="0" rank="0" text="" dxfId="13">
      <formula>K9="Baja"</formula>
    </cfRule>
  </conditionalFormatting>
  <dataValidations count="3">
    <dataValidation allowBlank="false" errorStyle="stop" operator="between" showDropDown="false" showErrorMessage="false" showInputMessage="false" sqref="F2:F18" type="list">
      <formula1>"Must,Should,Could,Won’t"</formula1>
      <formula2>0</formula2>
    </dataValidation>
    <dataValidation allowBlank="false" errorStyle="stop" operator="between" showDropDown="false" showErrorMessage="false" showInputMessage="false" sqref="K2:K18" type="list">
      <formula1>"Baja,Media,Alta"</formula1>
      <formula2>0</formula2>
    </dataValidation>
    <dataValidation allowBlank="false" errorStyle="stop" operator="between" showDropDown="false" showErrorMessage="false" showInputMessage="false" sqref="P2:P18" type="list">
      <formula1>",Sí,No,Pendiente"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tableParts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542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2"/>
    <col collapsed="false" customWidth="true" hidden="false" outlineLevel="0" max="4" min="4" style="0" width="16"/>
    <col collapsed="false" customWidth="true" hidden="false" outlineLevel="0" max="5" min="5" style="0" width="10"/>
  </cols>
  <sheetData>
    <row r="1" customFormat="false" ht="17.35" hidden="false" customHeight="false" outlineLevel="0" collapsed="false">
      <c r="A1" s="3" t="s">
        <v>151</v>
      </c>
      <c r="B1" s="3"/>
      <c r="C1" s="3"/>
      <c r="D1" s="3"/>
    </row>
    <row r="3" customFormat="false" ht="15" hidden="false" customHeight="false" outlineLevel="0" collapsed="false">
      <c r="A3" s="4" t="s">
        <v>152</v>
      </c>
      <c r="B3" s="4" t="s">
        <v>153</v>
      </c>
      <c r="D3" s="5" t="s">
        <v>1</v>
      </c>
      <c r="E3" s="5" t="s">
        <v>154</v>
      </c>
    </row>
    <row r="4" customFormat="false" ht="15" hidden="false" customHeight="false" outlineLevel="0" collapsed="false">
      <c r="A4" s="6" t="s">
        <v>155</v>
      </c>
      <c r="B4" s="6" t="n">
        <f aca="false">COUNTA(Requisitos!C2:C18)</f>
        <v>17</v>
      </c>
      <c r="D4" s="0" t="s">
        <v>17</v>
      </c>
      <c r="E4" s="0" t="n">
        <f aca="false">COUNTIF(Requisitos!A2:A18,D4)</f>
        <v>4</v>
      </c>
    </row>
    <row r="5" customFormat="false" ht="15" hidden="false" customHeight="false" outlineLevel="0" collapsed="false">
      <c r="A5" s="6" t="s">
        <v>22</v>
      </c>
      <c r="B5" s="6" t="n">
        <f aca="false">COUNTIF(Requisitos!F2:F18,"Must")</f>
        <v>7</v>
      </c>
      <c r="D5" s="0" t="s">
        <v>53</v>
      </c>
      <c r="E5" s="0" t="n">
        <f aca="false">COUNTIF(Requisitos!A2:A18,D5)</f>
        <v>4</v>
      </c>
    </row>
    <row r="6" customFormat="false" ht="15" hidden="false" customHeight="false" outlineLevel="0" collapsed="false">
      <c r="A6" s="6" t="s">
        <v>47</v>
      </c>
      <c r="B6" s="6" t="n">
        <f aca="false">COUNTIF(Requisitos!F2:F18,"Should")</f>
        <v>3</v>
      </c>
      <c r="D6" s="0" t="s">
        <v>83</v>
      </c>
      <c r="E6" s="0" t="n">
        <f aca="false">COUNTIF(Requisitos!A2:A18,D6)</f>
        <v>1</v>
      </c>
    </row>
    <row r="7" customFormat="false" ht="15" hidden="false" customHeight="false" outlineLevel="0" collapsed="false">
      <c r="A7" s="6" t="s">
        <v>72</v>
      </c>
      <c r="B7" s="6" t="n">
        <f aca="false">COUNTIF(Requisitos!F2:F18,"Could")</f>
        <v>5</v>
      </c>
      <c r="D7" s="0" t="s">
        <v>93</v>
      </c>
      <c r="E7" s="0" t="n">
        <f aca="false">COUNTIF(Requisitos!A2:A18,D7)</f>
        <v>4</v>
      </c>
    </row>
    <row r="8" customFormat="false" ht="15" hidden="false" customHeight="false" outlineLevel="0" collapsed="false">
      <c r="A8" s="6" t="s">
        <v>98</v>
      </c>
      <c r="B8" s="6" t="n">
        <f aca="false">COUNTIF(Requisitos!F2:F18,"Won’t")</f>
        <v>2</v>
      </c>
      <c r="D8" s="0" t="s">
        <v>123</v>
      </c>
      <c r="E8" s="0" t="n">
        <f aca="false">COUNTIF(Requisitos!A2:A18,D8)</f>
        <v>4</v>
      </c>
    </row>
    <row r="10" customFormat="false" ht="15" hidden="false" customHeight="true" outlineLevel="0" collapsed="false">
      <c r="A10" s="7" t="s">
        <v>156</v>
      </c>
      <c r="B10" s="7"/>
      <c r="C10" s="7"/>
      <c r="D10" s="7"/>
      <c r="E10" s="7"/>
    </row>
    <row r="11" customFormat="false" ht="15" hidden="false" customHeight="false" outlineLevel="0" collapsed="false">
      <c r="A11" s="7"/>
      <c r="B11" s="7"/>
      <c r="C11" s="7"/>
      <c r="D11" s="7"/>
      <c r="E11" s="7"/>
    </row>
    <row r="12" customFormat="false" ht="15" hidden="false" customHeight="false" outlineLevel="0" collapsed="false">
      <c r="A12" s="7"/>
      <c r="B12" s="7"/>
      <c r="C12" s="7"/>
      <c r="D12" s="7"/>
      <c r="E12" s="7"/>
    </row>
    <row r="13" customFormat="false" ht="15" hidden="false" customHeight="false" outlineLevel="0" collapsed="false">
      <c r="A13" s="7"/>
      <c r="B13" s="7"/>
      <c r="C13" s="7"/>
      <c r="D13" s="7"/>
      <c r="E13" s="7"/>
    </row>
  </sheetData>
  <mergeCells count="2">
    <mergeCell ref="A1:D1"/>
    <mergeCell ref="A10:E13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</TotalTime>
  <Application>LibreOffice/26.2.6.3$Windows_X86_64 LibreOffice_project/8221e31b3ac356a1623c672912a3d2b492f7e3d1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es-ES</dc:language>
  <cp:lastModifiedBy/>
  <dcterms:modified xsi:type="dcterms:W3CDTF">2026-10-16T20:43:24Z</dcterms:modified>
  <cp:revision>1</cp:revision>
  <dc:subject/>
  <dc:title/>
</cp:coreProperties>
</file>